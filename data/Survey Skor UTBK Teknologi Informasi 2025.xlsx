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.png" ContentType="image/png"/>
  <Override PartName="/xl/media/image4.jpeg" ContentType="image/jpeg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2"/>
    <sheet name="Rekap - Total" sheetId="2" state="visible" r:id="rId3"/>
    <sheet name="Rekap - Subt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<sst xmlns="http://schemas.openxmlformats.org/spreadsheetml/2006/main" count="44" uniqueCount="40">
  <si>
    <t xml:space="preserve">Timestamp</t>
  </si>
  <si>
    <t xml:space="preserve">Skor Penalaran Umum (PU)</t>
  </si>
  <si>
    <t xml:space="preserve">Skor Pengetahuan dan Pemahaman Umum (PPU)</t>
  </si>
  <si>
    <t xml:space="preserve">Skor Pemahaman Bacaan dan Menulis (PBM)</t>
  </si>
  <si>
    <t xml:space="preserve">Skor Pengetahuan Kuantitatif (PK)</t>
  </si>
  <si>
    <t xml:space="preserve">Skor Literasi Bahasa Indonesia (LBI)</t>
  </si>
  <si>
    <t xml:space="preserve">Skor Literasi Bahasa Inggris (Lit.Bing)</t>
  </si>
  <si>
    <t xml:space="preserve">Skor Penalaran Matematika (PM)</t>
  </si>
  <si>
    <t xml:space="preserve">Teknologi Informasi adalah pilihan yang ke-</t>
  </si>
  <si>
    <t xml:space="preserve">Nama</t>
  </si>
  <si>
    <t xml:space="preserve">Nilai rata-rata</t>
  </si>
  <si>
    <t xml:space="preserve">Dera</t>
  </si>
  <si>
    <t xml:space="preserve">alch</t>
  </si>
  <si>
    <t xml:space="preserve">tobby</t>
  </si>
  <si>
    <t xml:space="preserve">Arrumanta </t>
  </si>
  <si>
    <t xml:space="preserve">ra</t>
  </si>
  <si>
    <t xml:space="preserve">Catur Setyo Ragil</t>
  </si>
  <si>
    <t xml:space="preserve">Hendra Manudinata</t>
  </si>
  <si>
    <t xml:space="preserve">MOI</t>
  </si>
  <si>
    <t xml:space="preserve">Daffa Rifqi Asshidiq </t>
  </si>
  <si>
    <t xml:space="preserve">Muhamad nasrulhaq</t>
  </si>
  <si>
    <t xml:space="preserve">diisi via gform yo mas</t>
  </si>
  <si>
    <t xml:space="preserve">Berapapun skornya, kita sudah lolos guys</t>
  </si>
  <si>
    <t xml:space="preserve">ojok langsung nang kene</t>
  </si>
  <si>
    <t xml:space="preserve">Horee!!!</t>
  </si>
  <si>
    <t xml:space="preserve"> </t>
  </si>
  <si>
    <t xml:space="preserve">Min</t>
  </si>
  <si>
    <t xml:space="preserve">Total Responden</t>
  </si>
  <si>
    <t xml:space="preserve">dari 39 peserta (daya tampung Teknologi Informasi di SNBT 2025)</t>
  </si>
  <si>
    <t xml:space="preserve">Average</t>
  </si>
  <si>
    <t xml:space="preserve">Pilihan ke-1</t>
  </si>
  <si>
    <t xml:space="preserve">Max</t>
  </si>
  <si>
    <t xml:space="preserve">Pilihan ke-2++</t>
  </si>
  <si>
    <t xml:space="preserve">PU</t>
  </si>
  <si>
    <t xml:space="preserve">PPU</t>
  </si>
  <si>
    <t xml:space="preserve">PBM</t>
  </si>
  <si>
    <t xml:space="preserve">PK</t>
  </si>
  <si>
    <t xml:space="preserve">LBI</t>
  </si>
  <si>
    <t xml:space="preserve">Lit.Bing</t>
  </si>
  <si>
    <t xml:space="preserve">PM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</si>
</sst>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\ h:mm:ss"/>
    <numFmt numFmtId="166" formatCode="General"/>
    <numFmt numFmtId="167" formatCode="0.00%"/>
    <numFmt numFmtId="168" formatCode="h:mm:ss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sz val="18"/>
      <color rgb="FF757575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6D9EEB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EA4335"/>
      <rgbColor rgb="FF666699"/>
      <rgbColor rgb="FF8B8B8B"/>
      <rgbColor rgb="FF134F5C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134f5c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6d9eeb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4285f4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- Total'!$A$1:$A$3</c:f>
              <c:strCache>
                <c:ptCount val="3"/>
                <c:pt idx="0">
                  <c:v>Min</c:v>
                </c:pt>
                <c:pt idx="1">
                  <c:v>Average</c:v>
                </c:pt>
                <c:pt idx="2">
                  <c:v>Max</c:v>
                </c:pt>
              </c:strCache>
            </c:strRef>
          </c:cat>
          <c:val>
            <c:numRef>
              <c:f>'Rekap - Total'!$B$1:$B$3</c:f>
              <c:numCache>
                <c:formatCode>General</c:formatCode>
                <c:ptCount val="3"/>
                <c:pt idx="0">
                  <c:v>671.341428571429</c:v>
                </c:pt>
                <c:pt idx="1">
                  <c:v>712.389348148148</c:v>
                </c:pt>
                <c:pt idx="2">
                  <c:v>761.284285714286</c:v>
                </c:pt>
              </c:numCache>
            </c:numRef>
          </c:val>
        </c:ser>
        <c:gapWidth val="150"/>
        <c:overlap val="100"/>
        <c:axId val="83842655"/>
        <c:axId val="67964179"/>
      </c:barChart>
      <c:catAx>
        <c:axId val="838426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7964179"/>
        <c:crosses val="autoZero"/>
        <c:auto val="1"/>
        <c:lblAlgn val="ctr"/>
        <c:lblOffset val="100"/>
        <c:noMultiLvlLbl val="0"/>
      </c:catAx>
      <c:valAx>
        <c:axId val="6796417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38426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285f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433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'Rekap - Total'!$D$2:$D$3</c:f>
              <c:strCache>
                <c:ptCount val="2"/>
                <c:pt idx="0">
                  <c:v>Pilihan ke-1</c:v>
                </c:pt>
                <c:pt idx="1">
                  <c:v>Pilihan ke-2++</c:v>
                </c:pt>
              </c:strCache>
            </c:strRef>
          </c:cat>
          <c:val>
            <c:numRef>
              <c:f>'Rekap - Total'!$F$2:$F$3</c:f>
              <c:numCache>
                <c:formatCode>General</c:formatCode>
                <c:ptCount val="2"/>
                <c:pt idx="0">
                  <c:v>0.518518518518518</c:v>
                </c:pt>
                <c:pt idx="1">
                  <c:v>0.481481481481481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Rekap Subtes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'Rekap - Subtes'!$A$2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rgbClr val="134f5c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134f5c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- Subtes'!$B$1:$H$1</c:f>
              <c:strCache>
                <c:ptCount val="7"/>
                <c:pt idx="0">
                  <c:v>PU</c:v>
                </c:pt>
                <c:pt idx="1">
                  <c:v>PPU</c:v>
                </c:pt>
                <c:pt idx="2">
                  <c:v>PBM</c:v>
                </c:pt>
                <c:pt idx="3">
                  <c:v>PK</c:v>
                </c:pt>
                <c:pt idx="4">
                  <c:v>LBI</c:v>
                </c:pt>
                <c:pt idx="5">
                  <c:v>Lit.Bing</c:v>
                </c:pt>
                <c:pt idx="6">
                  <c:v>PM</c:v>
                </c:pt>
              </c:strCache>
            </c:strRef>
          </c:cat>
          <c:val>
            <c:numRef>
              <c:f>'Rekap - Subtes'!$B$2:$H$2</c:f>
              <c:numCache>
                <c:formatCode>General</c:formatCode>
                <c:ptCount val="7"/>
                <c:pt idx="0">
                  <c:v>628.37</c:v>
                </c:pt>
                <c:pt idx="1">
                  <c:v>580.59</c:v>
                </c:pt>
                <c:pt idx="2">
                  <c:v>524.64</c:v>
                </c:pt>
                <c:pt idx="3">
                  <c:v>591.01</c:v>
                </c:pt>
                <c:pt idx="4">
                  <c:v>588.91</c:v>
                </c:pt>
                <c:pt idx="5">
                  <c:v>621.82</c:v>
                </c:pt>
                <c:pt idx="6">
                  <c:v>560.07</c:v>
                </c:pt>
              </c:numCache>
            </c:numRef>
          </c:val>
        </c:ser>
        <c:ser>
          <c:idx val="1"/>
          <c:order val="1"/>
          <c:tx>
            <c:strRef>
              <c:f>'Rekap - Subtes'!$A$3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6d9eeb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6d9eeb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6d9eeb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- Subtes'!$B$1:$H$1</c:f>
              <c:strCache>
                <c:ptCount val="7"/>
                <c:pt idx="0">
                  <c:v>PU</c:v>
                </c:pt>
                <c:pt idx="1">
                  <c:v>PPU</c:v>
                </c:pt>
                <c:pt idx="2">
                  <c:v>PBM</c:v>
                </c:pt>
                <c:pt idx="3">
                  <c:v>PK</c:v>
                </c:pt>
                <c:pt idx="4">
                  <c:v>LBI</c:v>
                </c:pt>
                <c:pt idx="5">
                  <c:v>Lit.Bing</c:v>
                </c:pt>
                <c:pt idx="6">
                  <c:v>PM</c:v>
                </c:pt>
              </c:strCache>
            </c:strRef>
          </c:cat>
          <c:val>
            <c:numRef>
              <c:f>'Rekap - Subtes'!$B$3:$H$3</c:f>
              <c:numCache>
                <c:formatCode>General</c:formatCode>
                <c:ptCount val="7"/>
                <c:pt idx="0">
                  <c:v>727.531851851852</c:v>
                </c:pt>
                <c:pt idx="1">
                  <c:v>687.499881481482</c:v>
                </c:pt>
                <c:pt idx="2">
                  <c:v>705.5</c:v>
                </c:pt>
                <c:pt idx="3">
                  <c:v>759.071481481481</c:v>
                </c:pt>
                <c:pt idx="4">
                  <c:v>662.548888888889</c:v>
                </c:pt>
                <c:pt idx="5">
                  <c:v>716.454444444444</c:v>
                </c:pt>
                <c:pt idx="6">
                  <c:v>728.118888888889</c:v>
                </c:pt>
              </c:numCache>
            </c:numRef>
          </c:val>
        </c:ser>
        <c:ser>
          <c:idx val="2"/>
          <c:order val="2"/>
          <c:tx>
            <c:strRef>
              <c:f>'Rekap - Subtes'!$A$4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Pt>
            <c:idx val="1"/>
            <c:invertIfNegative val="0"/>
            <c:spPr>
              <a:solidFill>
                <a:srgbClr val="4285f4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invertIfNegative val="0"/>
            <c:spPr>
              <a:solidFill>
                <a:srgbClr val="4285f4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- Subtes'!$B$1:$H$1</c:f>
              <c:strCache>
                <c:ptCount val="7"/>
                <c:pt idx="0">
                  <c:v>PU</c:v>
                </c:pt>
                <c:pt idx="1">
                  <c:v>PPU</c:v>
                </c:pt>
                <c:pt idx="2">
                  <c:v>PBM</c:v>
                </c:pt>
                <c:pt idx="3">
                  <c:v>PK</c:v>
                </c:pt>
                <c:pt idx="4">
                  <c:v>LBI</c:v>
                </c:pt>
                <c:pt idx="5">
                  <c:v>Lit.Bing</c:v>
                </c:pt>
                <c:pt idx="6">
                  <c:v>PM</c:v>
                </c:pt>
              </c:strCache>
            </c:strRef>
          </c:cat>
          <c:val>
            <c:numRef>
              <c:f>'Rekap - Subtes'!$B$4:$H$4</c:f>
              <c:numCache>
                <c:formatCode>General</c:formatCode>
                <c:ptCount val="7"/>
                <c:pt idx="0">
                  <c:v>821.37</c:v>
                </c:pt>
                <c:pt idx="1">
                  <c:v>796.15</c:v>
                </c:pt>
                <c:pt idx="2">
                  <c:v>800.43</c:v>
                </c:pt>
                <c:pt idx="3">
                  <c:v>881.09</c:v>
                </c:pt>
                <c:pt idx="4">
                  <c:v>802</c:v>
                </c:pt>
                <c:pt idx="5">
                  <c:v>816.9</c:v>
                </c:pt>
                <c:pt idx="6">
                  <c:v>912.67</c:v>
                </c:pt>
              </c:numCache>
            </c:numRef>
          </c:val>
        </c:ser>
        <c:gapWidth val="150"/>
        <c:overlap val="0"/>
        <c:axId val="84227749"/>
        <c:axId val="20461941"/>
      </c:barChart>
      <c:catAx>
        <c:axId val="842277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0461941"/>
        <c:crosses val="autoZero"/>
        <c:auto val="1"/>
        <c:lblAlgn val="ctr"/>
        <c:lblOffset val="100"/>
        <c:noMultiLvlLbl val="0"/>
      </c:catAx>
      <c:valAx>
        <c:axId val="2046194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42277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image" Target="../media/image4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686160</xdr:colOff>
      <xdr:row>31</xdr:row>
      <xdr:rowOff>33120</xdr:rowOff>
    </xdr:from>
    <xdr:to>
      <xdr:col>4</xdr:col>
      <xdr:colOff>1545480</xdr:colOff>
      <xdr:row>35</xdr:row>
      <xdr:rowOff>175320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6719400" y="8805600"/>
          <a:ext cx="3514320" cy="942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133200</xdr:rowOff>
    </xdr:from>
    <xdr:to>
      <xdr:col>6</xdr:col>
      <xdr:colOff>289800</xdr:colOff>
      <xdr:row>24</xdr:row>
      <xdr:rowOff>66240</xdr:rowOff>
    </xdr:to>
    <xdr:graphicFrame>
      <xdr:nvGraphicFramePr>
        <xdr:cNvPr id="1" name="Chart 1"/>
        <xdr:cNvGraphicFramePr/>
      </xdr:nvGraphicFramePr>
      <xdr:xfrm>
        <a:off x="0" y="133344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209520</xdr:colOff>
      <xdr:row>6</xdr:row>
      <xdr:rowOff>142920</xdr:rowOff>
    </xdr:from>
    <xdr:to>
      <xdr:col>10</xdr:col>
      <xdr:colOff>855720</xdr:colOff>
      <xdr:row>19</xdr:row>
      <xdr:rowOff>152280</xdr:rowOff>
    </xdr:to>
    <xdr:graphicFrame>
      <xdr:nvGraphicFramePr>
        <xdr:cNvPr id="2" name="Chart 2"/>
        <xdr:cNvGraphicFramePr/>
      </xdr:nvGraphicFramePr>
      <xdr:xfrm>
        <a:off x="5634360" y="1343160"/>
        <a:ext cx="420984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95400</xdr:colOff>
      <xdr:row>6</xdr:row>
      <xdr:rowOff>142920</xdr:rowOff>
    </xdr:from>
    <xdr:to>
      <xdr:col>13</xdr:col>
      <xdr:colOff>370800</xdr:colOff>
      <xdr:row>16</xdr:row>
      <xdr:rowOff>199800</xdr:rowOff>
    </xdr:to>
    <xdr:pic>
      <xdr:nvPicPr>
        <xdr:cNvPr id="3" name="image2.jpg" descr=""/>
        <xdr:cNvPicPr/>
      </xdr:nvPicPr>
      <xdr:blipFill>
        <a:blip r:embed="rId3"/>
        <a:stretch/>
      </xdr:blipFill>
      <xdr:spPr>
        <a:xfrm>
          <a:off x="9974880" y="1343160"/>
          <a:ext cx="2057040" cy="2057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6</xdr:row>
      <xdr:rowOff>76320</xdr:rowOff>
    </xdr:from>
    <xdr:to>
      <xdr:col>7</xdr:col>
      <xdr:colOff>483840</xdr:colOff>
      <xdr:row>24</xdr:row>
      <xdr:rowOff>9360</xdr:rowOff>
    </xdr:to>
    <xdr:graphicFrame>
      <xdr:nvGraphicFramePr>
        <xdr:cNvPr id="4" name="Chart 3"/>
        <xdr:cNvGraphicFramePr/>
      </xdr:nvGraphicFramePr>
      <xdr:xfrm>
        <a:off x="1005480" y="12765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m_Responses1" displayName="Form_Responses1" ref="A1:K30" headerRowCount="1" totalsRowCount="0" totalsRowShown="0">
  <tableColumns count="11">
    <tableColumn id="1" name="Timestamp"/>
    <tableColumn id="2" name="Skor Penalaran Umum (PU)"/>
    <tableColumn id="3" name="Skor Pengetahuan dan Pemahaman Umum (PPU)"/>
    <tableColumn id="4" name="Skor Pemahaman Bacaan dan Menulis (PBM)"/>
    <tableColumn id="5" name="Skor Pengetahuan Kuantitatif (PK)"/>
    <tableColumn id="6" name="Skor Literasi Bahasa Indonesia (LBI)"/>
    <tableColumn id="7" name="Skor Literasi Bahasa Inggris (Lit.Bing)"/>
    <tableColumn id="8" name="Skor Penalaran Matematika (PM)"/>
    <tableColumn id="9" name="Teknologi Informasi adalah pilihan yang ke-"/>
    <tableColumn id="10" name="Nama"/>
    <tableColumn id="11" name="Nilai rata-rata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7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7" activePane="bottomLeft" state="frozen"/>
      <selection pane="topLeft" activeCell="A1" activeCellId="0" sqref="A1"/>
      <selection pane="bottomLeft" activeCell="B27" activeCellId="0" sqref="B27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28.99"/>
    <col collapsed="false" customWidth="true" hidden="false" outlineLevel="0" max="4" min="3" style="0" width="37.63"/>
    <col collapsed="false" customWidth="true" hidden="false" outlineLevel="0" max="5" min="5" style="0" width="34.13"/>
    <col collapsed="false" customWidth="true" hidden="false" outlineLevel="0" max="6" min="6" style="0" width="35.51"/>
    <col collapsed="false" customWidth="true" hidden="false" outlineLevel="0" max="7" min="7" style="0" width="36.5"/>
    <col collapsed="false" customWidth="true" hidden="false" outlineLevel="0" max="8" min="8" style="0" width="33.26"/>
    <col collapsed="false" customWidth="true" hidden="false" outlineLevel="0" max="9" min="9" style="0" width="36.63"/>
    <col collapsed="false" customWidth="true" hidden="false" outlineLevel="0" max="16" min="10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5" hidden="false" customHeight="true" outlineLevel="0" collapsed="false">
      <c r="A2" s="2"/>
      <c r="B2" s="2" t="n">
        <v>784.97</v>
      </c>
      <c r="C2" s="2" t="n">
        <v>646.08</v>
      </c>
      <c r="D2" s="2" t="n">
        <v>765.31</v>
      </c>
      <c r="E2" s="2" t="n">
        <v>850.44</v>
      </c>
      <c r="F2" s="2" t="n">
        <v>634.11</v>
      </c>
      <c r="G2" s="2" t="n">
        <v>759.93</v>
      </c>
      <c r="H2" s="2" t="n">
        <v>888.15</v>
      </c>
      <c r="I2" s="2" t="n">
        <v>1</v>
      </c>
      <c r="J2" s="2"/>
      <c r="K2" s="2" t="n">
        <f aca="false">AVERAGE(B2:H2)</f>
        <v>761.284285714286</v>
      </c>
    </row>
    <row r="3" customFormat="false" ht="22.5" hidden="false" customHeight="true" outlineLevel="0" collapsed="false">
      <c r="A3" s="3" t="n">
        <v>45830.8347453125</v>
      </c>
      <c r="B3" s="2" t="n">
        <v>790.47</v>
      </c>
      <c r="C3" s="2" t="n">
        <v>721.51</v>
      </c>
      <c r="D3" s="2" t="n">
        <v>700.99</v>
      </c>
      <c r="E3" s="2" t="n">
        <v>825.31</v>
      </c>
      <c r="F3" s="2" t="n">
        <v>697.07</v>
      </c>
      <c r="G3" s="2" t="n">
        <v>816.9</v>
      </c>
      <c r="H3" s="2" t="n">
        <v>775.39</v>
      </c>
      <c r="I3" s="2" t="n">
        <v>1</v>
      </c>
      <c r="J3" s="2" t="s">
        <v>11</v>
      </c>
      <c r="K3" s="2" t="n">
        <f aca="false">AVERAGE(B3:H3)</f>
        <v>761.091428571429</v>
      </c>
    </row>
    <row r="4" customFormat="false" ht="22.5" hidden="false" customHeight="true" outlineLevel="0" collapsed="false">
      <c r="A4" s="3" t="n">
        <v>45830.8325019213</v>
      </c>
      <c r="B4" s="2" t="n">
        <v>708.78</v>
      </c>
      <c r="C4" s="2" t="n">
        <v>727.18</v>
      </c>
      <c r="D4" s="2" t="n">
        <v>696.77</v>
      </c>
      <c r="E4" s="2" t="n">
        <v>881.09</v>
      </c>
      <c r="F4" s="2" t="n">
        <v>689</v>
      </c>
      <c r="G4" s="2" t="n">
        <v>738.64</v>
      </c>
      <c r="H4" s="2" t="n">
        <v>831.71</v>
      </c>
      <c r="I4" s="2" t="n">
        <v>1</v>
      </c>
      <c r="K4" s="2" t="n">
        <f aca="false">AVERAGE(B4:H4)</f>
        <v>753.31</v>
      </c>
    </row>
    <row r="5" customFormat="false" ht="22.5" hidden="false" customHeight="true" outlineLevel="0" collapsed="false">
      <c r="A5" s="3" t="n">
        <v>45830.8293529745</v>
      </c>
      <c r="B5" s="2" t="n">
        <v>757.5</v>
      </c>
      <c r="C5" s="2" t="n">
        <v>711.91</v>
      </c>
      <c r="D5" s="2" t="n">
        <v>607.64</v>
      </c>
      <c r="E5" s="2" t="n">
        <v>849.47</v>
      </c>
      <c r="F5" s="2" t="n">
        <v>588.91</v>
      </c>
      <c r="G5" s="2" t="n">
        <v>702.97</v>
      </c>
      <c r="H5" s="2" t="n">
        <v>906.44</v>
      </c>
      <c r="I5" s="2" t="n">
        <v>2</v>
      </c>
      <c r="J5" s="2" t="s">
        <v>12</v>
      </c>
      <c r="K5" s="2" t="n">
        <f aca="false">AVERAGE(B5:H5)</f>
        <v>732.12</v>
      </c>
    </row>
    <row r="6" customFormat="false" ht="22.5" hidden="false" customHeight="true" outlineLevel="0" collapsed="false">
      <c r="A6" s="3" t="n">
        <v>45830.8489263889</v>
      </c>
      <c r="B6" s="2" t="n">
        <v>740.35</v>
      </c>
      <c r="C6" s="2" t="n">
        <v>773.59</v>
      </c>
      <c r="D6" s="2" t="n">
        <v>671.08</v>
      </c>
      <c r="E6" s="2" t="n">
        <v>813.85</v>
      </c>
      <c r="F6" s="2" t="n">
        <v>601.82</v>
      </c>
      <c r="G6" s="2" t="n">
        <v>748.92</v>
      </c>
      <c r="H6" s="2" t="n">
        <v>751.59</v>
      </c>
      <c r="I6" s="2" t="n">
        <v>1</v>
      </c>
      <c r="J6" s="2" t="s">
        <v>13</v>
      </c>
      <c r="K6" s="2" t="n">
        <f aca="false">AVERAGE(B6:H6)</f>
        <v>728.742857142857</v>
      </c>
    </row>
    <row r="7" customFormat="false" ht="22.5" hidden="false" customHeight="true" outlineLevel="0" collapsed="false">
      <c r="A7" s="3" t="n">
        <v>45830.9597203357</v>
      </c>
      <c r="B7" s="2" t="n">
        <v>714.94</v>
      </c>
      <c r="C7" s="2" t="n">
        <v>691.97</v>
      </c>
      <c r="D7" s="2" t="n">
        <v>759.47</v>
      </c>
      <c r="E7" s="2" t="n">
        <v>799.37</v>
      </c>
      <c r="F7" s="2" t="n">
        <v>606.67</v>
      </c>
      <c r="G7" s="2" t="n">
        <v>757.99</v>
      </c>
      <c r="H7" s="2" t="n">
        <v>739.54</v>
      </c>
      <c r="I7" s="2" t="n">
        <v>2</v>
      </c>
      <c r="J7" s="2" t="s">
        <v>14</v>
      </c>
      <c r="K7" s="2" t="n">
        <f aca="false">AVERAGE(B7:H7)</f>
        <v>724.278571428571</v>
      </c>
    </row>
    <row r="8" customFormat="false" ht="22.5" hidden="false" customHeight="true" outlineLevel="0" collapsed="false">
      <c r="A8" s="3" t="n">
        <v>45830.7909959722</v>
      </c>
      <c r="B8" s="2" t="n">
        <v>682</v>
      </c>
      <c r="C8" s="2" t="n">
        <v>694.59</v>
      </c>
      <c r="D8" s="2" t="n">
        <v>710.21</v>
      </c>
      <c r="E8" s="2" t="n">
        <v>854.18</v>
      </c>
      <c r="F8" s="2" t="n">
        <v>679.31</v>
      </c>
      <c r="G8" s="2" t="n">
        <v>655.15</v>
      </c>
      <c r="H8" s="2" t="n">
        <v>779.54</v>
      </c>
      <c r="I8" s="2" t="n">
        <v>2</v>
      </c>
      <c r="K8" s="2" t="n">
        <f aca="false">AVERAGE(B8:H8)</f>
        <v>722.14</v>
      </c>
    </row>
    <row r="9" customFormat="false" ht="22.5" hidden="false" customHeight="true" outlineLevel="0" collapsed="false">
      <c r="A9" s="3" t="n">
        <v>45830.7825732523</v>
      </c>
      <c r="B9" s="2" t="n">
        <v>681.11</v>
      </c>
      <c r="C9" s="2" t="n">
        <v>641.9968</v>
      </c>
      <c r="D9" s="2" t="n">
        <v>707.99</v>
      </c>
      <c r="E9" s="2" t="n">
        <v>866.31</v>
      </c>
      <c r="F9" s="2" t="n">
        <v>690.61</v>
      </c>
      <c r="G9" s="2" t="n">
        <v>759.86</v>
      </c>
      <c r="H9" s="2" t="n">
        <v>706.72</v>
      </c>
      <c r="I9" s="2" t="n">
        <v>2</v>
      </c>
      <c r="J9" s="2"/>
      <c r="K9" s="2" t="n">
        <f aca="false">AVERAGE(B9:H9)</f>
        <v>722.085257142857</v>
      </c>
    </row>
    <row r="10" customFormat="false" ht="22.5" hidden="false" customHeight="true" outlineLevel="0" collapsed="false">
      <c r="A10" s="3" t="n">
        <v>45830.8227016898</v>
      </c>
      <c r="B10" s="2" t="n">
        <v>702.08</v>
      </c>
      <c r="C10" s="2" t="n">
        <v>676.87</v>
      </c>
      <c r="D10" s="2" t="n">
        <v>597.52</v>
      </c>
      <c r="E10" s="2" t="n">
        <v>844.07</v>
      </c>
      <c r="F10" s="2" t="n">
        <v>676.08</v>
      </c>
      <c r="G10" s="2" t="n">
        <v>648.79</v>
      </c>
      <c r="H10" s="2" t="n">
        <v>897.59</v>
      </c>
      <c r="I10" s="2" t="n">
        <v>2</v>
      </c>
      <c r="J10" s="2" t="s">
        <v>15</v>
      </c>
      <c r="K10" s="2" t="n">
        <f aca="false">AVERAGE(B10:H10)</f>
        <v>720.428571428571</v>
      </c>
    </row>
    <row r="11" customFormat="false" ht="22.5" hidden="false" customHeight="true" outlineLevel="0" collapsed="false">
      <c r="A11" s="3" t="n">
        <v>45832.7704999074</v>
      </c>
      <c r="B11" s="2" t="n">
        <v>821.37</v>
      </c>
      <c r="C11" s="2" t="n">
        <v>698.22</v>
      </c>
      <c r="D11" s="2" t="n">
        <v>800.43</v>
      </c>
      <c r="E11" s="2" t="n">
        <v>669.12</v>
      </c>
      <c r="F11" s="2" t="n">
        <v>608.28</v>
      </c>
      <c r="G11" s="2" t="n">
        <v>763.29</v>
      </c>
      <c r="H11" s="2" t="n">
        <v>635.81</v>
      </c>
      <c r="I11" s="2" t="n">
        <v>1</v>
      </c>
      <c r="K11" s="2" t="n">
        <f aca="false">AVERAGE(B11:H11)</f>
        <v>713.788571428571</v>
      </c>
    </row>
    <row r="12" customFormat="false" ht="22.5" hidden="false" customHeight="true" outlineLevel="0" collapsed="false">
      <c r="A12" s="3" t="n">
        <v>45831.5243118519</v>
      </c>
      <c r="B12" s="2" t="n">
        <v>809.18</v>
      </c>
      <c r="C12" s="2" t="n">
        <v>664.53</v>
      </c>
      <c r="D12" s="2" t="n">
        <v>758.67</v>
      </c>
      <c r="E12" s="2" t="n">
        <v>761</v>
      </c>
      <c r="F12" s="2" t="n">
        <v>622.81</v>
      </c>
      <c r="G12" s="2" t="n">
        <v>691.21</v>
      </c>
      <c r="H12" s="2" t="n">
        <v>684.62</v>
      </c>
      <c r="I12" s="2" t="n">
        <v>2</v>
      </c>
      <c r="K12" s="2" t="n">
        <f aca="false">AVERAGE(B12:H12)</f>
        <v>713.145714285714</v>
      </c>
    </row>
    <row r="13" customFormat="false" ht="22.5" hidden="false" customHeight="true" outlineLevel="0" collapsed="false">
      <c r="A13" s="3" t="n">
        <v>45830.7845872569</v>
      </c>
      <c r="B13" s="2" t="n">
        <v>769.82</v>
      </c>
      <c r="C13" s="2" t="n">
        <v>687.14</v>
      </c>
      <c r="D13" s="2" t="n">
        <v>623.49</v>
      </c>
      <c r="E13" s="2" t="n">
        <v>696.23</v>
      </c>
      <c r="F13" s="2" t="n">
        <v>735.81</v>
      </c>
      <c r="G13" s="2" t="n">
        <v>741.81</v>
      </c>
      <c r="H13" s="2" t="n">
        <v>718.88</v>
      </c>
      <c r="I13" s="2" t="n">
        <v>1</v>
      </c>
      <c r="J13" s="4" t="s">
        <v>16</v>
      </c>
      <c r="K13" s="2" t="n">
        <f aca="false">AVERAGE(B13:H13)</f>
        <v>710.454285714286</v>
      </c>
    </row>
    <row r="14" customFormat="false" ht="22.5" hidden="false" customHeight="true" outlineLevel="0" collapsed="false">
      <c r="A14" s="3" t="n">
        <v>45830.8404045255</v>
      </c>
      <c r="B14" s="2" t="n">
        <v>736.19</v>
      </c>
      <c r="C14" s="2" t="n">
        <v>733.51</v>
      </c>
      <c r="D14" s="2" t="n">
        <v>633.1</v>
      </c>
      <c r="E14" s="2" t="n">
        <v>739.58</v>
      </c>
      <c r="F14" s="2" t="n">
        <v>802</v>
      </c>
      <c r="G14" s="2" t="n">
        <v>672.56</v>
      </c>
      <c r="H14" s="2" t="n">
        <v>653.85</v>
      </c>
      <c r="I14" s="2" t="n">
        <v>2</v>
      </c>
      <c r="K14" s="2" t="n">
        <f aca="false">AVERAGE(B14:H14)</f>
        <v>710.112857142857</v>
      </c>
    </row>
    <row r="15" customFormat="false" ht="22.5" hidden="false" customHeight="true" outlineLevel="0" collapsed="false">
      <c r="A15" s="3" t="n">
        <v>45830.6570304051</v>
      </c>
      <c r="B15" s="2" t="n">
        <v>732.48</v>
      </c>
      <c r="C15" s="2" t="n">
        <v>796.15</v>
      </c>
      <c r="D15" s="2" t="n">
        <v>716.01</v>
      </c>
      <c r="E15" s="2" t="n">
        <v>676.41</v>
      </c>
      <c r="F15" s="2" t="n">
        <v>690.61</v>
      </c>
      <c r="G15" s="2" t="n">
        <v>788.69</v>
      </c>
      <c r="H15" s="2" t="n">
        <v>560.07</v>
      </c>
      <c r="I15" s="2" t="n">
        <v>1</v>
      </c>
      <c r="J15" s="4" t="s">
        <v>17</v>
      </c>
      <c r="K15" s="2" t="n">
        <f aca="false">AVERAGE(B15:H15)</f>
        <v>708.631428571429</v>
      </c>
    </row>
    <row r="16" customFormat="false" ht="22.5" hidden="false" customHeight="true" outlineLevel="0" collapsed="false">
      <c r="A16" s="3" t="n">
        <v>45830.7266684375</v>
      </c>
      <c r="B16" s="2" t="n">
        <v>638.15</v>
      </c>
      <c r="C16" s="2" t="n">
        <v>611.68</v>
      </c>
      <c r="D16" s="2" t="n">
        <v>763.29</v>
      </c>
      <c r="E16" s="2" t="n">
        <v>743.77</v>
      </c>
      <c r="F16" s="2" t="n">
        <v>755.18</v>
      </c>
      <c r="G16" s="2" t="n">
        <v>719.47</v>
      </c>
      <c r="H16" s="2" t="n">
        <v>704.35</v>
      </c>
      <c r="I16" s="2" t="n">
        <v>1</v>
      </c>
      <c r="J16" s="2"/>
      <c r="K16" s="2" t="n">
        <f aca="false">AVERAGE(B16:H16)</f>
        <v>705.127142857143</v>
      </c>
    </row>
    <row r="17" customFormat="false" ht="22.5" hidden="false" customHeight="true" outlineLevel="0" collapsed="false">
      <c r="A17" s="3" t="n">
        <v>45831.8781763194</v>
      </c>
      <c r="B17" s="2" t="n">
        <v>687.59</v>
      </c>
      <c r="C17" s="2" t="n">
        <v>637.77</v>
      </c>
      <c r="D17" s="2" t="n">
        <v>777.65</v>
      </c>
      <c r="E17" s="2" t="n">
        <v>743.16</v>
      </c>
      <c r="F17" s="2" t="n">
        <v>669.62</v>
      </c>
      <c r="G17" s="2" t="n">
        <v>702.69</v>
      </c>
      <c r="H17" s="2" t="n">
        <v>708.65</v>
      </c>
      <c r="I17" s="2" t="n">
        <v>1</v>
      </c>
      <c r="K17" s="2" t="n">
        <f aca="false">AVERAGE(B17:H17)</f>
        <v>703.875714285714</v>
      </c>
    </row>
    <row r="18" customFormat="false" ht="22.5" hidden="false" customHeight="true" outlineLevel="0" collapsed="false">
      <c r="A18" s="3" t="n">
        <v>45830.8118919213</v>
      </c>
      <c r="B18" s="2" t="n">
        <v>670.67</v>
      </c>
      <c r="C18" s="2" t="n">
        <v>659.07</v>
      </c>
      <c r="D18" s="2" t="n">
        <v>718.23</v>
      </c>
      <c r="E18" s="2" t="n">
        <v>691.68</v>
      </c>
      <c r="F18" s="2" t="n">
        <v>705.14</v>
      </c>
      <c r="G18" s="2" t="n">
        <v>725.31</v>
      </c>
      <c r="H18" s="2" t="n">
        <v>710.92</v>
      </c>
      <c r="I18" s="2" t="n">
        <v>2</v>
      </c>
      <c r="J18" s="2" t="s">
        <v>18</v>
      </c>
      <c r="K18" s="2" t="n">
        <f aca="false">AVERAGE(B18:H18)</f>
        <v>697.288571428571</v>
      </c>
    </row>
    <row r="19" customFormat="false" ht="22.5" hidden="false" customHeight="true" outlineLevel="0" collapsed="false">
      <c r="A19" s="3" t="n">
        <v>45830.7955466782</v>
      </c>
      <c r="B19" s="2" t="n">
        <v>743.8</v>
      </c>
      <c r="C19" s="2" t="n">
        <v>644.22</v>
      </c>
      <c r="D19" s="2" t="n">
        <v>691.47</v>
      </c>
      <c r="E19" s="2" t="n">
        <v>768.96</v>
      </c>
      <c r="F19" s="2" t="n">
        <v>651.87</v>
      </c>
      <c r="G19" s="2" t="n">
        <v>621.82</v>
      </c>
      <c r="H19" s="2" t="n">
        <v>747.14</v>
      </c>
      <c r="I19" s="2" t="n">
        <v>1</v>
      </c>
      <c r="K19" s="2" t="n">
        <f aca="false">AVERAGE(B19:H19)</f>
        <v>695.611428571429</v>
      </c>
    </row>
    <row r="20" customFormat="false" ht="22.5" hidden="false" customHeight="true" outlineLevel="0" collapsed="false">
      <c r="A20" s="3" t="n">
        <v>45830.7809593056</v>
      </c>
      <c r="B20" s="2" t="n">
        <v>717</v>
      </c>
      <c r="C20" s="2" t="n">
        <v>664</v>
      </c>
      <c r="D20" s="2" t="n">
        <v>742</v>
      </c>
      <c r="E20" s="2" t="n">
        <v>791</v>
      </c>
      <c r="F20" s="2" t="n">
        <v>608</v>
      </c>
      <c r="G20" s="2" t="n">
        <v>636</v>
      </c>
      <c r="H20" s="2" t="n">
        <v>678</v>
      </c>
      <c r="I20" s="2" t="n">
        <v>2</v>
      </c>
      <c r="J20" s="2"/>
      <c r="K20" s="2" t="n">
        <f aca="false">AVERAGE(B20:H20)</f>
        <v>690.857142857143</v>
      </c>
    </row>
    <row r="21" customFormat="false" ht="22.5" hidden="false" customHeight="true" outlineLevel="0" collapsed="false">
      <c r="A21" s="3" t="n">
        <v>45833.7765444213</v>
      </c>
      <c r="B21" s="2" t="n">
        <v>717</v>
      </c>
      <c r="C21" s="2" t="n">
        <v>664</v>
      </c>
      <c r="D21" s="2" t="n">
        <v>741</v>
      </c>
      <c r="E21" s="2" t="n">
        <v>791</v>
      </c>
      <c r="F21" s="2" t="n">
        <v>608</v>
      </c>
      <c r="G21" s="2" t="n">
        <v>636</v>
      </c>
      <c r="H21" s="2" t="n">
        <v>678</v>
      </c>
      <c r="I21" s="2" t="n">
        <v>2</v>
      </c>
      <c r="K21" s="2" t="n">
        <f aca="false">AVERAGE(B21:H21)</f>
        <v>690.714285714286</v>
      </c>
    </row>
    <row r="22" customFormat="false" ht="22.5" hidden="false" customHeight="true" outlineLevel="0" collapsed="false">
      <c r="A22" s="3" t="n">
        <v>45830.7944784491</v>
      </c>
      <c r="B22" s="2" t="n">
        <v>697.11</v>
      </c>
      <c r="C22" s="2" t="n">
        <v>768.96</v>
      </c>
      <c r="D22" s="2" t="n">
        <v>750.1</v>
      </c>
      <c r="E22" s="2" t="n">
        <v>640.32</v>
      </c>
      <c r="F22" s="2" t="n">
        <v>648.64</v>
      </c>
      <c r="G22" s="2" t="n">
        <v>650.11</v>
      </c>
      <c r="H22" s="2" t="n">
        <v>650.69</v>
      </c>
      <c r="I22" s="2" t="n">
        <v>1</v>
      </c>
      <c r="J22" s="4" t="s">
        <v>19</v>
      </c>
      <c r="K22" s="2" t="n">
        <f aca="false">AVERAGE(B22:H22)</f>
        <v>686.561428571429</v>
      </c>
    </row>
    <row r="23" customFormat="false" ht="22.5" hidden="false" customHeight="true" outlineLevel="0" collapsed="false">
      <c r="A23" s="3" t="n">
        <v>45830.8074953357</v>
      </c>
      <c r="B23" s="2" t="n">
        <v>722.69</v>
      </c>
      <c r="C23" s="2" t="n">
        <v>673.11</v>
      </c>
      <c r="D23" s="2" t="n">
        <v>774.76</v>
      </c>
      <c r="E23" s="2" t="n">
        <v>713.01</v>
      </c>
      <c r="F23" s="2" t="n">
        <v>664.78</v>
      </c>
      <c r="G23" s="2" t="n">
        <v>667.14</v>
      </c>
      <c r="H23" s="2" t="n">
        <v>578.25</v>
      </c>
      <c r="I23" s="2" t="n">
        <v>2</v>
      </c>
      <c r="K23" s="2" t="n">
        <f aca="false">AVERAGE(B23:H23)</f>
        <v>684.82</v>
      </c>
    </row>
    <row r="24" customFormat="false" ht="22.5" hidden="false" customHeight="true" outlineLevel="0" collapsed="false">
      <c r="A24" s="3" t="n">
        <v>45830.787660625</v>
      </c>
      <c r="B24" s="2" t="n">
        <v>701.08</v>
      </c>
      <c r="C24" s="2" t="n">
        <v>695.86</v>
      </c>
      <c r="D24" s="2" t="n">
        <v>737.99</v>
      </c>
      <c r="E24" s="2" t="n">
        <v>591.01</v>
      </c>
      <c r="F24" s="2" t="n">
        <v>689</v>
      </c>
      <c r="G24" s="2" t="n">
        <v>675.02</v>
      </c>
      <c r="H24" s="2" t="n">
        <v>668.46</v>
      </c>
      <c r="I24" s="2" t="n">
        <v>1</v>
      </c>
      <c r="J24" s="2"/>
      <c r="K24" s="2" t="n">
        <f aca="false">AVERAGE(B24:H24)</f>
        <v>679.774285714286</v>
      </c>
    </row>
    <row r="25" customFormat="false" ht="22.5" hidden="false" customHeight="true" outlineLevel="0" collapsed="false">
      <c r="A25" s="3" t="n">
        <v>45835.6748803935</v>
      </c>
      <c r="B25" s="2" t="n">
        <v>628.37</v>
      </c>
      <c r="C25" s="2" t="n">
        <v>658.61</v>
      </c>
      <c r="D25" s="2" t="n">
        <v>549.07</v>
      </c>
      <c r="E25" s="2" t="n">
        <v>767.54</v>
      </c>
      <c r="F25" s="2" t="n">
        <v>595.37</v>
      </c>
      <c r="G25" s="2" t="n">
        <v>796.19</v>
      </c>
      <c r="H25" s="2" t="n">
        <v>704.24</v>
      </c>
      <c r="I25" s="2" t="n">
        <v>2</v>
      </c>
      <c r="J25" s="2" t="s">
        <v>20</v>
      </c>
      <c r="K25" s="2" t="n">
        <f aca="false">AVERAGE(B25:H25)</f>
        <v>671.341428571429</v>
      </c>
    </row>
    <row r="26" customFormat="false" ht="22.5" hidden="false" customHeight="true" outlineLevel="0" collapsed="false">
      <c r="A26" s="3" t="n">
        <v>45844.5609400926</v>
      </c>
      <c r="B26" s="2" t="n">
        <v>777.9</v>
      </c>
      <c r="C26" s="2" t="n">
        <v>709.99</v>
      </c>
      <c r="D26" s="2" t="n">
        <v>765.01</v>
      </c>
      <c r="E26" s="2" t="n">
        <v>739.82</v>
      </c>
      <c r="F26" s="2" t="n">
        <v>622.81</v>
      </c>
      <c r="G26" s="2" t="n">
        <v>789.13</v>
      </c>
      <c r="H26" s="2" t="n">
        <v>709.18</v>
      </c>
      <c r="I26" s="2" t="n">
        <v>2</v>
      </c>
      <c r="K26" s="2" t="n">
        <f aca="false">AVERAGE(B26:H26)</f>
        <v>730.548571428571</v>
      </c>
    </row>
    <row r="27" customFormat="false" ht="22.5" hidden="false" customHeight="true" outlineLevel="0" collapsed="false">
      <c r="A27" s="3" t="n">
        <v>45844.5698045833</v>
      </c>
      <c r="B27" s="2" t="n">
        <v>724.22</v>
      </c>
      <c r="C27" s="2" t="n">
        <v>729.39</v>
      </c>
      <c r="D27" s="2" t="n">
        <v>524.64</v>
      </c>
      <c r="E27" s="2" t="n">
        <v>722.9</v>
      </c>
      <c r="F27" s="2" t="n">
        <v>619.58</v>
      </c>
      <c r="G27" s="2" t="n">
        <v>731.78</v>
      </c>
      <c r="H27" s="2" t="n">
        <v>912.67</v>
      </c>
      <c r="I27" s="2" t="n">
        <v>1</v>
      </c>
      <c r="K27" s="2" t="n">
        <f aca="false">AVERAGE(B27:H27)</f>
        <v>709.311428571429</v>
      </c>
    </row>
    <row r="28" customFormat="false" ht="22.5" hidden="false" customHeight="true" outlineLevel="0" collapsed="false">
      <c r="A28" s="3" t="n">
        <v>45844.6071842477</v>
      </c>
      <c r="B28" s="2" t="n">
        <v>786.54</v>
      </c>
      <c r="C28" s="2" t="n">
        <v>580.59</v>
      </c>
      <c r="D28" s="2" t="n">
        <v>764.61</v>
      </c>
      <c r="E28" s="2" t="n">
        <v>664.33</v>
      </c>
      <c r="F28" s="2" t="n">
        <v>727.74</v>
      </c>
      <c r="G28" s="2" t="n">
        <v>746.9</v>
      </c>
      <c r="H28" s="2" t="n">
        <v>678.76</v>
      </c>
      <c r="I28" s="2" t="n">
        <v>1</v>
      </c>
      <c r="K28" s="2" t="n">
        <f aca="false">AVERAGE(B28:H28)</f>
        <v>707.067142857143</v>
      </c>
    </row>
    <row r="30" customFormat="false" ht="22.5" hidden="false" customHeight="true" outlineLevel="0" collapsed="false">
      <c r="A30" s="3"/>
      <c r="B30" s="2"/>
      <c r="C30" s="2"/>
      <c r="D30" s="2"/>
      <c r="E30" s="2"/>
      <c r="F30" s="2"/>
      <c r="G30" s="2"/>
      <c r="H30" s="2"/>
      <c r="K30" s="2"/>
    </row>
    <row r="33" customFormat="false" ht="15.75" hidden="false" customHeight="false" outlineLevel="0" collapsed="false">
      <c r="A33" s="5" t="s">
        <v>21</v>
      </c>
      <c r="C33" s="6" t="s">
        <v>22</v>
      </c>
    </row>
    <row r="34" customFormat="false" ht="15.75" hidden="false" customHeight="false" outlineLevel="0" collapsed="false">
      <c r="A34" s="5" t="s">
        <v>23</v>
      </c>
      <c r="C34" s="6" t="s">
        <v>24</v>
      </c>
      <c r="I34" s="5" t="s">
        <v>25</v>
      </c>
    </row>
    <row r="70" customFormat="false" ht="15.75" hidden="false" customHeight="false" outlineLevel="0" collapsed="false">
      <c r="C70" s="7" t="n">
        <f aca="false">AVERAGE(C1:C69)</f>
        <v>687.499881481482</v>
      </c>
    </row>
  </sheetData>
  <dataValidations count="1">
    <dataValidation allowBlank="true" errorStyle="stop" operator="between" showDropDown="true" showErrorMessage="false" showInputMessage="false" sqref="B2:H28 B30:H30" type="custom">
      <formula1>AND(ISNUMBER(B2),(NOT(OR(NOT(ISERROR(DATEVALUE(B2))), AND(ISNUMBER(B2), LEFT(CELL("format", B2))="D")))))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4" min="4" style="0" width="13.5"/>
    <col collapsed="false" customWidth="true" hidden="false" outlineLevel="0" max="5" min="5" style="0" width="12.88"/>
  </cols>
  <sheetData>
    <row r="1" customFormat="false" ht="15.75" hidden="false" customHeight="false" outlineLevel="0" collapsed="false">
      <c r="A1" s="8" t="s">
        <v>26</v>
      </c>
      <c r="B1" s="9" t="n">
        <f aca="false">MIN(Form_Responses1[Nilai rata-rata])</f>
        <v>671.341428571429</v>
      </c>
      <c r="D1" s="5" t="s">
        <v>27</v>
      </c>
      <c r="E1" s="7" t="n">
        <f aca="false">COUNTA(Form_Responses1[Teknologi Informasi adalah pilihan yang ke-])</f>
        <v>27</v>
      </c>
      <c r="F1" s="10" t="n">
        <f aca="false">E1/39</f>
        <v>0.692307692307692</v>
      </c>
      <c r="G1" s="11" t="s">
        <v>28</v>
      </c>
    </row>
    <row r="2" customFormat="false" ht="15.75" hidden="false" customHeight="false" outlineLevel="0" collapsed="false">
      <c r="A2" s="8" t="s">
        <v>29</v>
      </c>
      <c r="B2" s="9" t="n">
        <f aca="false">AVERAGE(Form_Responses1[Nilai rata-rata])</f>
        <v>712.389348148148</v>
      </c>
      <c r="D2" s="5" t="s">
        <v>30</v>
      </c>
      <c r="E2" s="7" t="n">
        <f aca="false">COUNTIF(Form_Responses1[Teknologi Informasi adalah pilihan yang ke-], 1)</f>
        <v>14</v>
      </c>
      <c r="F2" s="10" t="n">
        <f aca="false">E2/$E$1</f>
        <v>0.518518518518518</v>
      </c>
      <c r="H2" s="5" t="s">
        <v>25</v>
      </c>
    </row>
    <row r="3" customFormat="false" ht="15.75" hidden="false" customHeight="false" outlineLevel="0" collapsed="false">
      <c r="A3" s="8" t="s">
        <v>31</v>
      </c>
      <c r="B3" s="9" t="n">
        <f aca="false">MAX(Form_Responses1[Nilai rata-rata])</f>
        <v>761.284285714286</v>
      </c>
      <c r="D3" s="5" t="s">
        <v>32</v>
      </c>
      <c r="E3" s="7" t="n">
        <f aca="false">COUNTIF(Form_Responses1[Teknologi Informasi adalah pilihan yang ke-], "&gt;1")</f>
        <v>13</v>
      </c>
      <c r="F3" s="10" t="n">
        <f aca="false">E3/$E$1</f>
        <v>0.481481481481481</v>
      </c>
    </row>
    <row r="4" customFormat="false" ht="15.75" hidden="false" customHeight="false" outlineLevel="0" collapsed="false">
      <c r="F4" s="10"/>
    </row>
    <row r="5" customFormat="false" ht="15.75" hidden="false" customHeight="false" outlineLevel="0" collapsed="false">
      <c r="F5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2"/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</row>
    <row r="2" customFormat="false" ht="15.75" hidden="false" customHeight="false" outlineLevel="0" collapsed="false">
      <c r="A2" s="5" t="s">
        <v>26</v>
      </c>
      <c r="B2" s="7" t="n">
        <f aca="false">MIN(Form_Responses1[Skor Penalaran Umum (PU)])</f>
        <v>628.37</v>
      </c>
      <c r="C2" s="7" t="n">
        <f aca="false">MIN(Form_Responses1[Skor Pengetahuan dan Pemahaman Umum (PPU)])</f>
        <v>580.59</v>
      </c>
      <c r="D2" s="7" t="n">
        <f aca="false">MIN(Form_Responses1[Skor Pemahaman Bacaan dan Menulis (PBM)])</f>
        <v>524.64</v>
      </c>
      <c r="E2" s="7" t="n">
        <f aca="false">MIN(Form_Responses1[Skor Pengetahuan Kuantitatif (PK)])</f>
        <v>591.01</v>
      </c>
      <c r="F2" s="7" t="n">
        <f aca="false">MIN(Form_Responses1[Skor Literasi Bahasa Indonesia (LBI)])</f>
        <v>588.91</v>
      </c>
      <c r="G2" s="7" t="n">
        <f aca="false">MIN(Form_Responses1[Skor Literasi Bahasa Inggris (Lit.Bing)])</f>
        <v>621.82</v>
      </c>
      <c r="H2" s="7" t="n">
        <f aca="false">MIN(Form_Responses1[Skor Penalaran Matematika (PM)])</f>
        <v>560.07</v>
      </c>
    </row>
    <row r="3" customFormat="false" ht="15.75" hidden="false" customHeight="false" outlineLevel="0" collapsed="false">
      <c r="A3" s="5" t="s">
        <v>29</v>
      </c>
      <c r="B3" s="7" t="n">
        <f aca="false">AVERAGE(Form_Responses1[Skor Penalaran Umum (PU)])</f>
        <v>727.531851851852</v>
      </c>
      <c r="C3" s="7" t="n">
        <f aca="false">AVERAGE(Form_Responses1[Skor Pengetahuan dan Pemahaman Umum (PPU)])</f>
        <v>687.499881481482</v>
      </c>
      <c r="D3" s="7" t="n">
        <f aca="false">AVERAGE(Form_Responses1[Skor Pemahaman Bacaan dan Menulis (PBM)])</f>
        <v>705.5</v>
      </c>
      <c r="E3" s="7" t="n">
        <f aca="false">AVERAGE(Form_Responses1[Skor Pengetahuan Kuantitatif (PK)])</f>
        <v>759.071481481481</v>
      </c>
      <c r="F3" s="7" t="n">
        <f aca="false">AVERAGE(Form_Responses1[Skor Literasi Bahasa Indonesia (LBI)])</f>
        <v>662.548888888889</v>
      </c>
      <c r="G3" s="7" t="n">
        <f aca="false">AVERAGE(Form_Responses1[Skor Literasi Bahasa Inggris (Lit.Bing)])</f>
        <v>716.454444444444</v>
      </c>
      <c r="H3" s="7" t="n">
        <f aca="false">AVERAGE(Form_Responses1[Skor Penalaran Matematika (PM)])</f>
        <v>728.118888888889</v>
      </c>
    </row>
    <row r="4" customFormat="false" ht="15.75" hidden="false" customHeight="false" outlineLevel="0" collapsed="false">
      <c r="A4" s="5" t="s">
        <v>31</v>
      </c>
      <c r="B4" s="7" t="n">
        <f aca="false">MAX(Form_Responses1[Skor Penalaran Umum (PU)])</f>
        <v>821.37</v>
      </c>
      <c r="C4" s="7" t="n">
        <f aca="false">MAX(Form_Responses1[Skor Pengetahuan dan Pemahaman Umum (PPU)])</f>
        <v>796.15</v>
      </c>
      <c r="D4" s="7" t="n">
        <f aca="false">MAX(Form_Responses1[Skor Pemahaman Bacaan dan Menulis (PBM)])</f>
        <v>800.43</v>
      </c>
      <c r="E4" s="7" t="n">
        <f aca="false">MAX(Form_Responses1[Skor Pengetahuan Kuantitatif (PK)])</f>
        <v>881.09</v>
      </c>
      <c r="F4" s="7" t="n">
        <f aca="false">MAX(Form_Responses1[Skor Literasi Bahasa Indonesia (LBI)])</f>
        <v>802</v>
      </c>
      <c r="G4" s="7" t="n">
        <f aca="false">MAX(Form_Responses1[Skor Literasi Bahasa Inggris (Lit.Bing)])</f>
        <v>816.9</v>
      </c>
      <c r="H4" s="7" t="n">
        <f aca="false">MAX(Form_Responses1[Skor Penalaran Matematika (PM)])</f>
        <v>912.67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2026-01-10T00:56:27Z</dcterms:modified>
  <cp:revision>2</cp:revision>
  <dc:subject/>
  <dc:title/>
</cp:coreProperties>
</file>